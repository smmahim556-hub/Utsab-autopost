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28770" windowHeight="12360"/>
  </bookViews>
  <sheets>
    <sheet name="Daily retail price" sheetId="4" r:id="rId1"/>
  </sheets>
  <definedNames>
    <definedName name="_xlnm.Print_Area" localSheetId="0">'Daily retail price'!$A$1:$L$123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90" i="4"/>
  <c r="G95" i="4" l="1"/>
  <c r="G89" i="4" l="1"/>
  <c r="G94" i="4" l="1"/>
  <c r="G93" i="4"/>
  <c r="G92" i="4"/>
  <c r="L71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<sst xmlns="http://schemas.openxmlformats.org/spreadsheetml/2006/main" count="240" uniqueCount="134">
  <si>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</si>
  <si>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</si>
  <si>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</si>
  <si>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</si>
  <si>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</si>
  <si>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</si>
  <si>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</si>
  <si>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</si>
  <si>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</si>
  <si>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</si>
  <si>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</si>
  <si>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</si>
  <si>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</si>
  <si>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</si>
  <si>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</si>
  <si>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</si>
  <si>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</si>
  <si>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</si>
  <si>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</si>
  <si>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</si>
  <si>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</si>
  <si>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</si>
  <si>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</si>
  <si>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</si>
  <si>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</si>
  <si>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</si>
  <si>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</si>
  <si>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</si>
  <si>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</si>
  <si>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</si>
  <si>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</si>
  <si>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</si>
  <si>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</si>
  <si>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</si>
  <si>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</si>
  <si>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</si>
  <si>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</si>
  <si>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</si>
  <si>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</si>
  <si>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</si>
  <si>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</si>
  <si>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</si>
  <si>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</si>
  <si>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</si>
  <si>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</si>
  <si>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</si>
  <si>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</si>
  <si>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</si>
  <si>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</si>
  <si>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</si>
  <si>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</si>
  <si>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</si>
  <si>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</si>
  <si>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</si>
  <si>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</si>
  <si>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</si>
  <si>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</si>
  <si>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</si>
  <si>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</si>
  <si>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</si>
  <si>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</si>
  <si>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</si>
  <si>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</si>
  <si>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</si>
  <si>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</si>
  <si>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</si>
  <si>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</si>
  <si>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</si>
  <si>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</si>
  <si>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</si>
  <si>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</si>
  <si>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</si>
  <si>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</si>
  <si>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</si>
  <si>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</si>
  <si>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</si>
  <si>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</si>
  <si>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</si>
  <si>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</si>
  <si>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</si>
  <si>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</si>
  <si>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</si>
  <si>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</si>
  <si>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</si>
  <si>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</si>
  <si>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</si>
  <si>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</si>
  <si>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</si>
  <si>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</si>
  <si>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</si>
  <si>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</si>
  <si>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</si>
  <si>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</si>
  <si>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</si>
  <si>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</si>
  <si>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</si>
  <si>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</si>
  <si>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</si>
  <si>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</si>
  <si>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</si>
  <si>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</si>
  <si>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</si>
  <si>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</si>
  <si>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</si>
  <si>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</si>
  <si>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</si>
  <si>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</si>
  <si>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</si>
  <si>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</si>
  <si>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</si>
  <si>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</si>
  <si>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</si>
  <si>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</si>
  <si>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</si>
  <si>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</si>
  <si>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</si>
  <si>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</si>
  <si>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</si>
  <si>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</si>
  <si>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</si>
  <si>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</si>
  <si>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</si>
  <si>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</si>
  <si>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</si>
  <si>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২৪-১০-২০২৬ তারিখে মূল্য হ্রাস পেয়েছে।</t>
  </si>
  <si>
    <t>২৫-১০-২০২৬ তারিখে মূল্য বৃদ্ধি পেয়েছে।</t>
  </si>
  <si>
    <t>২৬-১০-২০২৬ তারিখে মূল্য হ্রাস পেয়েছে।</t>
  </si>
  <si>
    <t>২৬-১০-২০২৬ তারিখে মূল্য বৃদ্ধি পেয়েছে।</t>
  </si>
  <si>
    <t>(১)     চাল (সরু), আদা (দেশী)  এর মূল্য বৃদ্ধি পেয়েছে।</t>
  </si>
  <si>
    <t xml:space="preserve">নং-২৬.০৫.০০০০.০১৭.৩১.০১.২৬-৮৫১                                                                                                           তারিখঃ ২৭-১০-২০২৬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</si>
  <si>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২৬৭</t>
  </si>
  <si>
    <t xml:space="preserve">মঙ্গলবার ২৭ অক্টোবর ২০২৬ খ্রিঃ, ১১ কার্তিক ১৪৩৩ বাংলা, ১৬ জমা.আউ ১৪৪৮ হিজরি </t>
  </si>
  <si>
    <t>২৭-১০-২০২৬ তারিখে মূল্য হ্রাস পেয়েছে।</t>
  </si>
  <si>
    <t>(২)    আটা (প্যাকেট), ময়দা (প্যাকেট), রসুন (দেশী), আদা (আম), ডিম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</si>
</sst>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8"/>
  <sheetViews>
    <sheetView tabSelected="1" zoomScaleNormal="100" workbookViewId="0">
      <selection activeCell="B85" sqref="B85:L85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79" t="s">
        <v>115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>
      <c r="A2" s="80" t="s">
        <v>116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>
      <c r="A3" s="81" t="s">
        <v>130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>
      <c r="A4" s="82" t="s">
        <v>131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1"/>
      <c r="Q4" s="51"/>
      <c r="R4" s="51"/>
    </row>
    <row r="5" spans="1:18">
      <c r="A5" s="83" t="s">
        <v>129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2"/>
      <c r="Q5" s="53"/>
    </row>
    <row r="6" spans="1:18" s="27" customFormat="1">
      <c r="A6" s="84" t="s">
        <v>1</v>
      </c>
      <c r="B6" s="84" t="s">
        <v>2</v>
      </c>
      <c r="C6" s="74" t="s">
        <v>3</v>
      </c>
      <c r="D6" s="76"/>
      <c r="E6" s="74" t="s">
        <v>4</v>
      </c>
      <c r="F6" s="76"/>
      <c r="G6" s="74" t="s">
        <v>5</v>
      </c>
      <c r="H6" s="76"/>
      <c r="I6" s="24" t="s">
        <v>6</v>
      </c>
      <c r="J6" s="74" t="s">
        <v>7</v>
      </c>
      <c r="K6" s="76"/>
      <c r="L6" s="26" t="s">
        <v>8</v>
      </c>
      <c r="M6" s="49"/>
    </row>
    <row r="7" spans="1:18" s="27" customFormat="1">
      <c r="A7" s="85"/>
      <c r="B7" s="85"/>
      <c r="C7" s="88">
        <v>46322</v>
      </c>
      <c r="D7" s="89"/>
      <c r="E7" s="88">
        <v>46314</v>
      </c>
      <c r="F7" s="89"/>
      <c r="G7" s="88">
        <v>46292</v>
      </c>
      <c r="H7" s="89"/>
      <c r="I7" s="24" t="s">
        <v>9</v>
      </c>
      <c r="J7" s="86">
        <v>45957</v>
      </c>
      <c r="K7" s="87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90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3.225806451612903</v>
      </c>
      <c r="J11" s="37">
        <v>75</v>
      </c>
      <c r="K11" s="37">
        <v>85</v>
      </c>
      <c r="L11" s="47">
        <f>((C11+D11)/2-(J11+K11)/2)/((J11+K11)/2)*100</f>
        <v>0</v>
      </c>
      <c r="M11" s="49"/>
    </row>
    <row r="12" spans="1:18" s="27" customFormat="1">
      <c r="A12" s="43" t="s">
        <v>93</v>
      </c>
      <c r="B12" s="44" t="s">
        <v>14</v>
      </c>
      <c r="C12" s="37">
        <v>56</v>
      </c>
      <c r="D12" s="37">
        <v>65</v>
      </c>
      <c r="E12" s="37">
        <v>56</v>
      </c>
      <c r="F12" s="37">
        <v>65</v>
      </c>
      <c r="G12" s="37">
        <v>58</v>
      </c>
      <c r="H12" s="37">
        <v>65</v>
      </c>
      <c r="I12" s="46">
        <f>((C12+D12)/2-(G12+H12)/2)/((G12+H12)/2)*100</f>
        <v>-1.6260162601626018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50</v>
      </c>
      <c r="H15" s="37">
        <v>50</v>
      </c>
      <c r="I15" s="46">
        <f>((C15+D15)/2-(G15+H15)/2)/((G15+H15)/2)*100</f>
        <v>0</v>
      </c>
      <c r="J15" s="37">
        <v>45</v>
      </c>
      <c r="K15" s="37">
        <v>50</v>
      </c>
      <c r="L15" s="47">
        <f>((C15+D15)/2-(J15+K15)/2)/((J15+K15)/2)*100</f>
        <v>5.2631578947368416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60</v>
      </c>
      <c r="D16" s="37">
        <v>70</v>
      </c>
      <c r="E16" s="37">
        <v>65</v>
      </c>
      <c r="F16" s="37">
        <v>70</v>
      </c>
      <c r="G16" s="37">
        <v>65</v>
      </c>
      <c r="H16" s="37">
        <v>70</v>
      </c>
      <c r="I16" s="46">
        <f>((C16+D16)/2-(G16+H16)/2)/((G16+H16)/2)*100</f>
        <v>-3.7037037037037033</v>
      </c>
      <c r="J16" s="37">
        <v>55</v>
      </c>
      <c r="K16" s="37">
        <v>65</v>
      </c>
      <c r="L16" s="47">
        <f>((C16+D16)/2-(J16+K16)/2)/((J16+K16)/2)*100</f>
        <v>8.3333333333333321</v>
      </c>
      <c r="M16" s="49">
        <f t="shared" si="0"/>
        <v>-3.7037037037037033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70</v>
      </c>
      <c r="H17" s="37">
        <v>70</v>
      </c>
      <c r="I17" s="46">
        <f>((C17+D17)/2-(G17+H17)/2)/((G17+H17)/2)*100</f>
        <v>0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80</v>
      </c>
      <c r="D18" s="37">
        <v>90</v>
      </c>
      <c r="E18" s="37">
        <v>85</v>
      </c>
      <c r="F18" s="37">
        <v>90</v>
      </c>
      <c r="G18" s="37">
        <v>85</v>
      </c>
      <c r="H18" s="37">
        <v>90</v>
      </c>
      <c r="I18" s="46">
        <f>((C18+D18)/2-(G18+H18)/2)/((G18+H18)/2)*100</f>
        <v>-2.8571428571428572</v>
      </c>
      <c r="J18" s="37">
        <v>65</v>
      </c>
      <c r="K18" s="37">
        <v>75</v>
      </c>
      <c r="L18" s="47">
        <f>((C18+D18)/2-(J18+K18)/2)/((J18+K18)/2)*100</f>
        <v>21.428571428571427</v>
      </c>
      <c r="M18" s="49">
        <f t="shared" si="0"/>
        <v>-2.8571428571428572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189</v>
      </c>
      <c r="F20" s="37">
        <v>200</v>
      </c>
      <c r="G20" s="39">
        <v>190</v>
      </c>
      <c r="H20" s="37">
        <v>195</v>
      </c>
      <c r="I20" s="46">
        <f t="shared" ref="I20:I26" si="1">((C20+D20)/2-(G20+H20)/2)/((G20+H20)/2)*100</f>
        <v>1.0389610389610389</v>
      </c>
      <c r="J20" s="37">
        <v>172</v>
      </c>
      <c r="K20" s="37">
        <v>180</v>
      </c>
      <c r="L20" s="47">
        <f>((C20+D20)/2-(J20+K20)/2)/((J20+K20)/2)*100</f>
        <v>10.511363636363637</v>
      </c>
      <c r="M20" s="49">
        <f t="shared" si="0"/>
        <v>0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1000</v>
      </c>
      <c r="H21" s="37">
        <v>1000</v>
      </c>
      <c r="I21" s="46">
        <f t="shared" si="1"/>
        <v>0</v>
      </c>
      <c r="J21" s="37">
        <v>910</v>
      </c>
      <c r="K21" s="37">
        <v>925</v>
      </c>
      <c r="L21" s="47">
        <f t="shared" ref="L21:L25" si="2">((C21+D21)/2-(J21+K21)/2)/((J21+K21)/2)*100</f>
        <v>8.9918256130790191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410</v>
      </c>
      <c r="H22" s="37">
        <v>410</v>
      </c>
      <c r="I22" s="46">
        <f t="shared" si="1"/>
        <v>0</v>
      </c>
      <c r="J22" s="37">
        <v>375</v>
      </c>
      <c r="K22" s="37">
        <v>385</v>
      </c>
      <c r="L22" s="47">
        <f t="shared" si="2"/>
        <v>7.8947368421052628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204</v>
      </c>
      <c r="H23" s="37">
        <v>204</v>
      </c>
      <c r="I23" s="46">
        <f t="shared" si="1"/>
        <v>0</v>
      </c>
      <c r="J23" s="37">
        <v>189</v>
      </c>
      <c r="K23" s="37">
        <v>195</v>
      </c>
      <c r="L23" s="47">
        <f t="shared" si="2"/>
        <v>6.25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168</v>
      </c>
      <c r="D24" s="37">
        <v>175</v>
      </c>
      <c r="E24" s="37">
        <v>168</v>
      </c>
      <c r="F24" s="37">
        <v>175</v>
      </c>
      <c r="G24" s="37">
        <v>170</v>
      </c>
      <c r="H24" s="37">
        <v>175</v>
      </c>
      <c r="I24" s="46">
        <f t="shared" si="1"/>
        <v>-0.57971014492753625</v>
      </c>
      <c r="J24" s="37">
        <v>155</v>
      </c>
      <c r="K24" s="37">
        <v>162</v>
      </c>
      <c r="L24" s="47">
        <f t="shared" si="2"/>
        <v>8.2018927444794958</v>
      </c>
      <c r="M24" s="49">
        <f t="shared" si="0"/>
        <v>0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172</v>
      </c>
      <c r="H25" s="37">
        <v>178</v>
      </c>
      <c r="I25" s="46">
        <f t="shared" si="1"/>
        <v>1.4285714285714286</v>
      </c>
      <c r="J25" s="37">
        <v>158</v>
      </c>
      <c r="K25" s="37">
        <v>165</v>
      </c>
      <c r="L25" s="47">
        <f t="shared" si="2"/>
        <v>9.9071207430340564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95</v>
      </c>
      <c r="H28" s="37">
        <v>100</v>
      </c>
      <c r="I28" s="46">
        <f t="shared" ref="I28:I34" si="3">((C28+D28)/2-(G28+H28)/2)/((G28+H28)/2)*100</f>
        <v>-2.5641025641025639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125</v>
      </c>
      <c r="K29" s="37">
        <v>140</v>
      </c>
      <c r="L29" s="47">
        <f t="shared" si="4"/>
        <v>-11.320754716981133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110</v>
      </c>
      <c r="D33" s="37">
        <v>125</v>
      </c>
      <c r="E33" s="37">
        <v>110</v>
      </c>
      <c r="F33" s="37">
        <v>125</v>
      </c>
      <c r="G33" s="37">
        <v>100</v>
      </c>
      <c r="H33" s="37">
        <v>110</v>
      </c>
      <c r="I33" s="46">
        <f t="shared" si="3"/>
        <v>11.904761904761903</v>
      </c>
      <c r="J33" s="37">
        <v>100</v>
      </c>
      <c r="K33" s="37">
        <v>110</v>
      </c>
      <c r="L33" s="47">
        <f t="shared" si="4"/>
        <v>11.904761904761903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50</v>
      </c>
      <c r="F36" s="39">
        <v>60</v>
      </c>
      <c r="G36" s="39">
        <v>45</v>
      </c>
      <c r="H36" s="39">
        <v>50</v>
      </c>
      <c r="I36" s="46">
        <f t="shared" ref="I36:I51" si="5">((C36+D36)/2-(G36+H36)/2)/((G36+H36)/2)*100</f>
        <v>15.789473684210526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140</v>
      </c>
      <c r="G38" s="37">
        <v>100</v>
      </c>
      <c r="H38" s="37">
        <v>120</v>
      </c>
      <c r="I38" s="46">
        <f t="shared" si="5"/>
        <v>0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-8.3333333333333321</v>
      </c>
    </row>
    <row r="39" spans="1:13" s="48" customFormat="1" ht="19.5">
      <c r="A39" s="43" t="s">
        <v>41</v>
      </c>
      <c r="B39" s="44" t="s">
        <v>14</v>
      </c>
      <c r="C39" s="39">
        <v>170</v>
      </c>
      <c r="D39" s="37">
        <v>230</v>
      </c>
      <c r="E39" s="39">
        <v>170</v>
      </c>
      <c r="F39" s="37">
        <v>230</v>
      </c>
      <c r="G39" s="39">
        <v>170</v>
      </c>
      <c r="H39" s="37">
        <v>200</v>
      </c>
      <c r="I39" s="46">
        <f t="shared" si="5"/>
        <v>8.1081081081081088</v>
      </c>
      <c r="J39" s="37">
        <v>130</v>
      </c>
      <c r="K39" s="37">
        <v>200</v>
      </c>
      <c r="L39" s="47">
        <f t="shared" si="6"/>
        <v>21.212121212121211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160</v>
      </c>
      <c r="E44" s="37">
        <v>120</v>
      </c>
      <c r="F44" s="37">
        <v>150</v>
      </c>
      <c r="G44" s="37">
        <v>120</v>
      </c>
      <c r="H44" s="37">
        <v>140</v>
      </c>
      <c r="I44" s="46">
        <f t="shared" si="5"/>
        <v>7.6923076923076925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3.7037037037037033</v>
      </c>
    </row>
    <row r="45" spans="1:13" s="48" customFormat="1" ht="19.5">
      <c r="A45" s="43" t="s">
        <v>47</v>
      </c>
      <c r="B45" s="44" t="s">
        <v>14</v>
      </c>
      <c r="C45" s="37">
        <v>170</v>
      </c>
      <c r="D45" s="37">
        <v>220</v>
      </c>
      <c r="E45" s="37">
        <v>170</v>
      </c>
      <c r="F45" s="37">
        <v>230</v>
      </c>
      <c r="G45" s="37">
        <v>120</v>
      </c>
      <c r="H45" s="37">
        <v>160</v>
      </c>
      <c r="I45" s="46">
        <f t="shared" si="5"/>
        <v>39.285714285714285</v>
      </c>
      <c r="J45" s="37">
        <v>150</v>
      </c>
      <c r="K45" s="37">
        <v>220</v>
      </c>
      <c r="L45" s="47">
        <f t="shared" si="6"/>
        <v>5.4054054054054053</v>
      </c>
      <c r="M45" s="49">
        <f t="shared" si="0"/>
        <v>-2.5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480</v>
      </c>
      <c r="D47" s="37">
        <v>600</v>
      </c>
      <c r="E47" s="37">
        <v>480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250</v>
      </c>
      <c r="H51" s="37">
        <v>300</v>
      </c>
      <c r="I51" s="46">
        <f t="shared" si="5"/>
        <v>-3.6363636363636362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0</v>
      </c>
      <c r="D54" s="37">
        <v>0</v>
      </c>
      <c r="E54" s="37">
        <v>0</v>
      </c>
      <c r="F54" s="37">
        <v>0</v>
      </c>
      <c r="G54" s="37">
        <v>800</v>
      </c>
      <c r="H54" s="37">
        <v>1800</v>
      </c>
      <c r="I54" s="46">
        <f t="shared" si="7"/>
        <v>-100</v>
      </c>
      <c r="J54" s="37">
        <v>0</v>
      </c>
      <c r="K54" s="37">
        <v>0</v>
      </c>
      <c r="L54" s="47" t="e">
        <f t="shared" si="8"/>
        <v>#DIV/0!</v>
      </c>
      <c r="M54" s="49" t="e">
        <f t="shared" si="0"/>
        <v>#DIV/0!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190</v>
      </c>
      <c r="E57" s="37">
        <v>180</v>
      </c>
      <c r="F57" s="37">
        <v>190</v>
      </c>
      <c r="G57" s="37">
        <v>170</v>
      </c>
      <c r="H57" s="37">
        <v>180</v>
      </c>
      <c r="I57" s="46">
        <f t="shared" si="7"/>
        <v>5.7142857142857144</v>
      </c>
      <c r="J57" s="37">
        <v>180</v>
      </c>
      <c r="K57" s="37">
        <v>185</v>
      </c>
      <c r="L57" s="47">
        <f t="shared" si="8"/>
        <v>1.3698630136986301</v>
      </c>
      <c r="M57" s="49">
        <f t="shared" si="0"/>
        <v>0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56"/>
      <c r="H64" s="66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56"/>
      <c r="H65" s="56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56"/>
      <c r="H66" s="56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56"/>
      <c r="H67" s="56"/>
      <c r="I67" s="64"/>
      <c r="J67" s="56"/>
      <c r="K67" s="56"/>
      <c r="L67" s="65"/>
      <c r="M67" s="49"/>
    </row>
    <row r="68" spans="1:13">
      <c r="A68" s="84" t="s">
        <v>1</v>
      </c>
      <c r="B68" s="84" t="s">
        <v>2</v>
      </c>
      <c r="C68" s="74" t="s">
        <v>3</v>
      </c>
      <c r="D68" s="76"/>
      <c r="E68" s="74" t="s">
        <v>4</v>
      </c>
      <c r="F68" s="76"/>
      <c r="G68" s="74" t="s">
        <v>5</v>
      </c>
      <c r="H68" s="76"/>
      <c r="I68" s="24" t="s">
        <v>6</v>
      </c>
      <c r="J68" s="74" t="s">
        <v>7</v>
      </c>
      <c r="K68" s="76"/>
      <c r="L68" s="24" t="s">
        <v>8</v>
      </c>
    </row>
    <row r="69" spans="1:13" ht="18" customHeight="1">
      <c r="A69" s="85"/>
      <c r="B69" s="85"/>
      <c r="C69" s="88">
        <v>46322</v>
      </c>
      <c r="D69" s="89"/>
      <c r="E69" s="88">
        <v>46314</v>
      </c>
      <c r="F69" s="89"/>
      <c r="G69" s="88">
        <v>46292</v>
      </c>
      <c r="H69" s="89"/>
      <c r="I69" s="24" t="s">
        <v>9</v>
      </c>
      <c r="J69" s="86">
        <v>45957</v>
      </c>
      <c r="K69" s="87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37">
        <v>100</v>
      </c>
      <c r="K71" s="37">
        <v>110</v>
      </c>
      <c r="L71" s="47">
        <f>((C71+D71)/2-(J71+K71)/2)/((J71+K71)/2)*100</f>
        <v>7.1428571428571423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180</v>
      </c>
      <c r="G75" s="37">
        <v>120</v>
      </c>
      <c r="H75" s="37">
        <v>180</v>
      </c>
      <c r="I75" s="46">
        <f t="shared" si="9"/>
        <v>0</v>
      </c>
      <c r="J75" s="45">
        <v>200</v>
      </c>
      <c r="K75" s="45">
        <v>220</v>
      </c>
      <c r="L75" s="47">
        <f t="shared" si="10"/>
        <v>-28.571428571428569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70</v>
      </c>
      <c r="D76" s="37">
        <v>120</v>
      </c>
      <c r="E76" s="37">
        <v>70</v>
      </c>
      <c r="F76" s="37">
        <v>120</v>
      </c>
      <c r="G76" s="37">
        <v>90</v>
      </c>
      <c r="H76" s="37">
        <v>120</v>
      </c>
      <c r="I76" s="46">
        <f t="shared" si="9"/>
        <v>-9.5238095238095237</v>
      </c>
      <c r="J76" s="45">
        <v>70</v>
      </c>
      <c r="K76" s="45">
        <v>110</v>
      </c>
      <c r="L76" s="47">
        <f t="shared" si="10"/>
        <v>5.5555555555555554</v>
      </c>
      <c r="M76" s="49">
        <f t="shared" si="11"/>
        <v>0</v>
      </c>
    </row>
    <row r="77" spans="1:13" s="49" customFormat="1" ht="19.5">
      <c r="A77" s="43" t="s">
        <v>104</v>
      </c>
      <c r="B77" s="50" t="s">
        <v>14</v>
      </c>
      <c r="C77" s="37">
        <v>60</v>
      </c>
      <c r="D77" s="37">
        <v>100</v>
      </c>
      <c r="E77" s="37">
        <v>60</v>
      </c>
      <c r="F77" s="37">
        <v>100</v>
      </c>
      <c r="G77" s="37">
        <v>50</v>
      </c>
      <c r="H77" s="37">
        <v>80</v>
      </c>
      <c r="I77" s="46">
        <f t="shared" si="9"/>
        <v>23.076923076923077</v>
      </c>
      <c r="J77" s="45">
        <v>40</v>
      </c>
      <c r="K77" s="45">
        <v>80</v>
      </c>
      <c r="L77" s="47">
        <f t="shared" si="10"/>
        <v>33.333333333333329</v>
      </c>
      <c r="M77" s="49">
        <f t="shared" si="11"/>
        <v>0</v>
      </c>
    </row>
    <row r="78" spans="1:13" s="49" customFormat="1" ht="18.75" customHeight="1">
      <c r="A78" s="43" t="s">
        <v>68</v>
      </c>
      <c r="B78" s="44" t="s">
        <v>69</v>
      </c>
      <c r="C78" s="42">
        <v>45</v>
      </c>
      <c r="D78" s="42">
        <v>50</v>
      </c>
      <c r="E78" s="42">
        <v>47</v>
      </c>
      <c r="F78" s="42">
        <v>50</v>
      </c>
      <c r="G78" s="42">
        <v>50</v>
      </c>
      <c r="H78" s="42">
        <v>55</v>
      </c>
      <c r="I78" s="46">
        <f t="shared" si="9"/>
        <v>-9.5238095238095237</v>
      </c>
      <c r="J78" s="42">
        <v>45</v>
      </c>
      <c r="K78" s="42">
        <v>50</v>
      </c>
      <c r="L78" s="47">
        <f>((C78+D78)/2-(J78+K78)/2)/((J78+K78)/2)*100</f>
        <v>0</v>
      </c>
      <c r="M78" s="49">
        <f t="shared" si="11"/>
        <v>-2.0618556701030926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81000</v>
      </c>
      <c r="K80" s="37">
        <v>84000</v>
      </c>
      <c r="L80" s="47">
        <f>((C80+D80)/2-(J80+K80)/2)/((J80+K80)/2)*100</f>
        <v>13.333333333333334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75000</v>
      </c>
      <c r="K81" s="42">
        <v>77000</v>
      </c>
      <c r="L81" s="47">
        <f>((C81+D81)/2-(J81+K81)/2)/((J81+K81)/2)*100</f>
        <v>18.421052631578945</v>
      </c>
      <c r="M81" s="49">
        <f t="shared" si="11"/>
        <v>0</v>
      </c>
    </row>
    <row r="82" spans="1:13" ht="39" customHeight="1">
      <c r="A82" s="92" t="s">
        <v>117</v>
      </c>
      <c r="B82" s="93"/>
      <c r="C82" s="77" t="s">
        <v>123</v>
      </c>
      <c r="D82" s="77"/>
      <c r="E82" s="77"/>
      <c r="F82" s="77"/>
      <c r="G82" s="77"/>
      <c r="H82" s="77"/>
      <c r="I82" s="77"/>
      <c r="J82" s="77"/>
      <c r="K82" s="77"/>
      <c r="L82" s="77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78" t="s">
        <v>128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</row>
    <row r="85" spans="1:13">
      <c r="A85" s="61"/>
      <c r="B85" s="78" t="s">
        <v>133</v>
      </c>
      <c r="C85" s="78"/>
      <c r="D85" s="78"/>
      <c r="E85" s="78"/>
      <c r="F85" s="78"/>
      <c r="G85" s="78"/>
      <c r="H85" s="78"/>
      <c r="I85" s="78"/>
      <c r="J85" s="78"/>
      <c r="K85" s="78"/>
      <c r="L85" s="78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4" t="s">
        <v>3</v>
      </c>
      <c r="D88" s="76"/>
      <c r="E88" s="90" t="s">
        <v>78</v>
      </c>
      <c r="F88" s="91"/>
      <c r="G88" s="25" t="s">
        <v>9</v>
      </c>
      <c r="H88" s="74" t="s">
        <v>79</v>
      </c>
      <c r="I88" s="75"/>
      <c r="J88" s="76"/>
      <c r="K88" s="9"/>
      <c r="L88" s="2"/>
    </row>
    <row r="89" spans="1:13">
      <c r="A89" s="43" t="s">
        <v>13</v>
      </c>
      <c r="B89" s="44" t="s">
        <v>14</v>
      </c>
      <c r="C89" s="37">
        <v>70</v>
      </c>
      <c r="D89" s="37">
        <v>90</v>
      </c>
      <c r="E89" s="37">
        <v>70</v>
      </c>
      <c r="F89" s="37">
        <v>85</v>
      </c>
      <c r="G89" s="30">
        <f t="shared" ref="G89:G95" si="12">((C89+D89)/2-(E89+F89)/2)/((E89+F89)/2)*100</f>
        <v>3.225806451612903</v>
      </c>
      <c r="H89" s="74" t="s">
        <v>125</v>
      </c>
      <c r="I89" s="75"/>
      <c r="J89" s="76"/>
      <c r="K89" s="9"/>
      <c r="L89" s="71"/>
    </row>
    <row r="90" spans="1:13">
      <c r="A90" s="43" t="s">
        <v>18</v>
      </c>
      <c r="B90" s="44" t="s">
        <v>19</v>
      </c>
      <c r="C90" s="37">
        <v>60</v>
      </c>
      <c r="D90" s="37">
        <v>70</v>
      </c>
      <c r="E90" s="37">
        <v>65</v>
      </c>
      <c r="F90" s="37">
        <v>70</v>
      </c>
      <c r="G90" s="30">
        <f t="shared" si="12"/>
        <v>-3.7037037037037033</v>
      </c>
      <c r="H90" s="74" t="s">
        <v>132</v>
      </c>
      <c r="I90" s="75"/>
      <c r="J90" s="76"/>
      <c r="K90" s="9"/>
      <c r="L90" s="73"/>
    </row>
    <row r="91" spans="1:13">
      <c r="A91" s="43" t="s">
        <v>21</v>
      </c>
      <c r="B91" s="44" t="s">
        <v>19</v>
      </c>
      <c r="C91" s="37">
        <v>80</v>
      </c>
      <c r="D91" s="37">
        <v>90</v>
      </c>
      <c r="E91" s="37">
        <v>85</v>
      </c>
      <c r="F91" s="37">
        <v>90</v>
      </c>
      <c r="G91" s="30">
        <f t="shared" si="12"/>
        <v>-2.8571428571428572</v>
      </c>
      <c r="H91" s="74" t="s">
        <v>132</v>
      </c>
      <c r="I91" s="75"/>
      <c r="J91" s="76"/>
      <c r="K91" s="9"/>
      <c r="L91" s="73"/>
    </row>
    <row r="92" spans="1:13">
      <c r="A92" s="43" t="s">
        <v>40</v>
      </c>
      <c r="B92" s="44" t="s">
        <v>14</v>
      </c>
      <c r="C92" s="37">
        <v>100</v>
      </c>
      <c r="D92" s="37">
        <v>120</v>
      </c>
      <c r="E92" s="37">
        <v>100</v>
      </c>
      <c r="F92" s="37">
        <v>140</v>
      </c>
      <c r="G92" s="30">
        <f t="shared" si="12"/>
        <v>-8.3333333333333321</v>
      </c>
      <c r="H92" s="74" t="s">
        <v>124</v>
      </c>
      <c r="I92" s="75"/>
      <c r="J92" s="76"/>
      <c r="K92" s="9"/>
      <c r="L92" s="69"/>
    </row>
    <row r="93" spans="1:13">
      <c r="A93" s="43" t="s">
        <v>46</v>
      </c>
      <c r="B93" s="44" t="s">
        <v>14</v>
      </c>
      <c r="C93" s="37">
        <v>120</v>
      </c>
      <c r="D93" s="37">
        <v>160</v>
      </c>
      <c r="E93" s="37">
        <v>120</v>
      </c>
      <c r="F93" s="37">
        <v>150</v>
      </c>
      <c r="G93" s="30">
        <f t="shared" si="12"/>
        <v>3.7037037037037033</v>
      </c>
      <c r="H93" s="74" t="s">
        <v>127</v>
      </c>
      <c r="I93" s="75"/>
      <c r="J93" s="76"/>
      <c r="K93" s="9"/>
      <c r="L93" s="70"/>
    </row>
    <row r="94" spans="1:13">
      <c r="A94" s="43" t="s">
        <v>47</v>
      </c>
      <c r="B94" s="44" t="s">
        <v>14</v>
      </c>
      <c r="C94" s="37">
        <v>170</v>
      </c>
      <c r="D94" s="37">
        <v>220</v>
      </c>
      <c r="E94" s="37">
        <v>170</v>
      </c>
      <c r="F94" s="37">
        <v>230</v>
      </c>
      <c r="G94" s="30">
        <f t="shared" si="12"/>
        <v>-2.5</v>
      </c>
      <c r="H94" s="74" t="s">
        <v>126</v>
      </c>
      <c r="I94" s="75"/>
      <c r="J94" s="76"/>
      <c r="K94" s="9"/>
      <c r="L94" s="70"/>
    </row>
    <row r="95" spans="1:13">
      <c r="A95" s="43" t="s">
        <v>68</v>
      </c>
      <c r="B95" s="44" t="s">
        <v>69</v>
      </c>
      <c r="C95" s="42">
        <v>45</v>
      </c>
      <c r="D95" s="42">
        <v>50</v>
      </c>
      <c r="E95" s="42">
        <v>47</v>
      </c>
      <c r="F95" s="42">
        <v>50</v>
      </c>
      <c r="G95" s="30">
        <f t="shared" si="12"/>
        <v>-2.0618556701030926</v>
      </c>
      <c r="H95" s="74" t="s">
        <v>126</v>
      </c>
      <c r="I95" s="75"/>
      <c r="J95" s="76"/>
      <c r="K95" s="9"/>
      <c r="L95" s="67"/>
    </row>
    <row r="96" spans="1:13">
      <c r="A96" s="62"/>
      <c r="B96" s="63"/>
      <c r="C96" s="57"/>
      <c r="D96" s="57"/>
      <c r="E96" s="57"/>
      <c r="F96" s="57"/>
      <c r="G96" s="58"/>
      <c r="H96" s="68"/>
      <c r="I96" s="68"/>
      <c r="J96" s="68"/>
      <c r="K96" s="9"/>
      <c r="L96" s="72"/>
    </row>
    <row r="97" spans="1:12">
      <c r="A97" s="54"/>
      <c r="B97" s="55"/>
      <c r="C97" s="56"/>
      <c r="D97" s="57"/>
      <c r="E97" s="56"/>
      <c r="F97" s="57"/>
      <c r="G97" s="58"/>
      <c r="H97" s="6"/>
      <c r="I97" s="1"/>
      <c r="J97" s="1"/>
      <c r="K97" s="9"/>
      <c r="L97" s="11"/>
    </row>
    <row r="98" spans="1:12">
      <c r="A98" s="6"/>
      <c r="B98" s="12"/>
      <c r="C98" s="3"/>
      <c r="D98" s="3"/>
      <c r="E98" s="3"/>
      <c r="F98" s="3"/>
      <c r="G98" s="4"/>
      <c r="H98" s="6"/>
      <c r="I98" s="1"/>
      <c r="J98" s="1"/>
      <c r="K98" s="11"/>
      <c r="L98" s="11"/>
    </row>
    <row r="99" spans="1:12">
      <c r="A99" s="6"/>
      <c r="B99" s="13" t="s">
        <v>110</v>
      </c>
      <c r="C99" s="2"/>
      <c r="E99" s="6"/>
      <c r="F99" s="13" t="s">
        <v>119</v>
      </c>
      <c r="G99" s="2"/>
      <c r="I99" s="14"/>
      <c r="J99" s="1"/>
      <c r="K99" s="2"/>
      <c r="L99" s="11"/>
    </row>
    <row r="100" spans="1:12">
      <c r="A100" s="15"/>
      <c r="B100" s="13" t="s">
        <v>109</v>
      </c>
      <c r="C100" s="1"/>
      <c r="E100" s="15"/>
      <c r="F100" s="13" t="s">
        <v>120</v>
      </c>
      <c r="G100" s="1"/>
      <c r="I100" s="2"/>
      <c r="J100" s="1"/>
      <c r="L100" s="11"/>
    </row>
    <row r="101" spans="1:12">
      <c r="A101" s="6"/>
      <c r="C101" s="5"/>
      <c r="D101" s="5"/>
      <c r="E101" s="1"/>
      <c r="F101" s="5"/>
      <c r="G101" s="4"/>
      <c r="H101" s="16"/>
      <c r="I101" s="11"/>
      <c r="J101" s="11"/>
      <c r="K101" s="11"/>
      <c r="L101" s="11"/>
    </row>
    <row r="102" spans="1:12">
      <c r="A102" s="17" t="s">
        <v>86</v>
      </c>
      <c r="B102" s="18"/>
      <c r="C102" s="19"/>
      <c r="D102" s="18"/>
      <c r="E102" s="19"/>
      <c r="F102" s="19"/>
      <c r="G102" s="19"/>
      <c r="H102" s="20"/>
      <c r="I102" s="2"/>
      <c r="J102" s="2"/>
      <c r="K102" s="2"/>
      <c r="L102" s="2"/>
    </row>
    <row r="103" spans="1:12">
      <c r="A103" s="21" t="s">
        <v>111</v>
      </c>
      <c r="B103" s="18"/>
      <c r="C103" s="19"/>
      <c r="D103" s="18"/>
      <c r="E103" s="19"/>
      <c r="F103" s="19"/>
      <c r="G103" s="18"/>
      <c r="H103" s="20"/>
      <c r="I103" s="2"/>
      <c r="J103" s="2"/>
      <c r="K103" s="2"/>
      <c r="L103" s="2"/>
    </row>
    <row r="104" spans="1:12">
      <c r="A104" s="21" t="s">
        <v>105</v>
      </c>
      <c r="B104" s="18"/>
      <c r="C104" s="18"/>
      <c r="D104" s="18"/>
      <c r="E104" s="18"/>
      <c r="F104" s="19"/>
      <c r="G104" s="18"/>
      <c r="H104" s="20"/>
      <c r="I104" s="2"/>
      <c r="J104" s="2"/>
      <c r="K104" s="2"/>
      <c r="L104" s="2"/>
    </row>
    <row r="105" spans="1:12">
      <c r="A105" s="21" t="s">
        <v>80</v>
      </c>
      <c r="B105" s="18"/>
      <c r="C105" s="18"/>
      <c r="D105" s="18"/>
      <c r="E105" s="18"/>
      <c r="F105" s="20"/>
      <c r="G105" s="20"/>
      <c r="H105" s="20"/>
      <c r="I105" s="2"/>
      <c r="J105" s="2"/>
      <c r="K105" s="2"/>
      <c r="L105" s="2"/>
    </row>
    <row r="106" spans="1:12">
      <c r="A106" s="21" t="s">
        <v>106</v>
      </c>
      <c r="B106" s="18"/>
      <c r="C106" s="18"/>
      <c r="D106" s="18"/>
      <c r="E106" s="18"/>
      <c r="F106" s="18"/>
      <c r="G106" s="20"/>
      <c r="H106" s="20"/>
      <c r="I106" s="2"/>
      <c r="J106" s="2"/>
      <c r="K106" s="2"/>
      <c r="L106" s="2"/>
    </row>
    <row r="107" spans="1:12">
      <c r="A107" s="21" t="s">
        <v>89</v>
      </c>
      <c r="B107" s="18"/>
      <c r="C107" s="18"/>
      <c r="D107" s="18"/>
      <c r="E107" s="18"/>
      <c r="F107" s="18"/>
      <c r="G107" s="18"/>
      <c r="H107" s="20"/>
      <c r="I107" s="2"/>
      <c r="J107" s="2"/>
      <c r="K107" s="2"/>
      <c r="L107" s="2"/>
    </row>
    <row r="108" spans="1:12">
      <c r="A108" s="21" t="s">
        <v>95</v>
      </c>
      <c r="B108" s="18"/>
      <c r="C108" s="18"/>
      <c r="D108" s="18"/>
      <c r="E108" s="18"/>
      <c r="F108" s="18"/>
      <c r="G108" s="18"/>
      <c r="H108" s="20"/>
      <c r="I108" s="2"/>
      <c r="J108" s="2"/>
      <c r="K108" s="2"/>
      <c r="L108" s="2"/>
    </row>
    <row r="109" spans="1:12">
      <c r="A109" s="21" t="s">
        <v>88</v>
      </c>
      <c r="B109" s="18"/>
      <c r="C109" s="18"/>
      <c r="D109" s="18"/>
      <c r="E109" s="18"/>
      <c r="F109" s="18"/>
      <c r="G109" s="18"/>
      <c r="H109" s="20"/>
      <c r="I109" s="2"/>
      <c r="J109" s="2"/>
      <c r="K109" s="2"/>
      <c r="L109" s="2"/>
    </row>
    <row r="110" spans="1:12">
      <c r="A110" s="21" t="s">
        <v>87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>
      <c r="A111" s="21" t="s">
        <v>81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>
      <c r="A112" s="21" t="s">
        <v>90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112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91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92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107</v>
      </c>
      <c r="B116" s="18"/>
      <c r="C116" s="18"/>
      <c r="D116" s="18"/>
      <c r="E116" s="18"/>
      <c r="F116" s="18"/>
      <c r="G116" s="18"/>
      <c r="H116" s="22"/>
      <c r="I116" s="11"/>
      <c r="J116" s="11"/>
      <c r="K116" s="11"/>
      <c r="L116" s="11"/>
    </row>
    <row r="117" spans="1:12">
      <c r="A117" s="21"/>
      <c r="B117" s="18"/>
      <c r="C117" s="18"/>
      <c r="D117" s="18"/>
      <c r="E117" s="18"/>
      <c r="F117" s="18"/>
      <c r="G117" s="18"/>
      <c r="H117" s="22"/>
      <c r="I117" s="11"/>
      <c r="J117" s="11"/>
      <c r="K117" s="11"/>
      <c r="L117" s="11"/>
    </row>
    <row r="118" spans="1:12">
      <c r="A118" s="17" t="s">
        <v>82</v>
      </c>
      <c r="B118" s="18"/>
      <c r="C118" s="18"/>
      <c r="D118" s="18"/>
      <c r="E118" s="18"/>
      <c r="F118" s="18"/>
      <c r="G118" s="18"/>
      <c r="H118" s="22"/>
      <c r="I118" s="11"/>
      <c r="J118" s="11"/>
      <c r="K118" s="11"/>
      <c r="L118" s="11"/>
    </row>
    <row r="119" spans="1:12">
      <c r="A119" s="21" t="s">
        <v>83</v>
      </c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>
      <c r="A120" s="21" t="s">
        <v>113</v>
      </c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>
      <c r="A121" s="21" t="s">
        <v>114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21" t="s">
        <v>99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438" spans="2:2">
      <c r="B438" s="10" t="s">
        <v>108</v>
      </c>
    </row>
  </sheetData>
  <mergeCells count="39">
    <mergeCell ref="H95:J95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C88:D88"/>
    <mergeCell ref="E88:F88"/>
    <mergeCell ref="H88:J88"/>
    <mergeCell ref="A82:B82"/>
    <mergeCell ref="H93:J93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4:J94"/>
    <mergeCell ref="H92:J92"/>
    <mergeCell ref="C82:L82"/>
    <mergeCell ref="B84:L84"/>
    <mergeCell ref="B85:L85"/>
    <mergeCell ref="H89:J89"/>
    <mergeCell ref="H90:J90"/>
    <mergeCell ref="H91:J9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2026-10-17T06:35:26Z</cp:lastPrinted>
  <dcterms:created xsi:type="dcterms:W3CDTF">2021-06-05T07:13:00Z</dcterms:created>
  <dcterms:modified xsi:type="dcterms:W3CDTF">2026-10-27T08:08:43Z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